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homp\Documents\nrcan-cfs-fire\FireDMs\GMD\"/>
    </mc:Choice>
  </mc:AlternateContent>
  <xr:revisionPtr revIDLastSave="0" documentId="13_ncr:1_{7D753419-688C-4AD7-B9D6-C1B519626FCF}" xr6:coauthVersionLast="47" xr6:coauthVersionMax="47" xr10:uidLastSave="{00000000-0000-0000-0000-000000000000}"/>
  <bookViews>
    <workbookView xWindow="-120" yWindow="-120" windowWidth="29040" windowHeight="15990" xr2:uid="{16CE1E83-2308-4ECC-BD41-9B5C69735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1" l="1"/>
  <c r="T22" i="1"/>
  <c r="U21" i="1"/>
  <c r="T21" i="1"/>
  <c r="U20" i="1"/>
  <c r="T20" i="1"/>
  <c r="E27" i="1"/>
  <c r="F27" i="1" s="1"/>
  <c r="E26" i="1"/>
  <c r="F26" i="1" s="1"/>
  <c r="E28" i="1"/>
  <c r="F28" i="1" s="1"/>
  <c r="J13" i="1"/>
  <c r="J11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R15" i="1"/>
  <c r="U15" i="1" s="1"/>
  <c r="B15" i="1" s="1"/>
  <c r="Q15" i="1"/>
  <c r="T15" i="1" s="1"/>
  <c r="B8" i="1" s="1"/>
  <c r="N12" i="1"/>
  <c r="N14" i="1"/>
  <c r="N10" i="1"/>
  <c r="N13" i="1"/>
  <c r="R13" i="1" s="1"/>
  <c r="U13" i="1" s="1"/>
  <c r="B13" i="1" s="1"/>
  <c r="Q13" i="1"/>
  <c r="T13" i="1" s="1"/>
  <c r="B6" i="1" s="1"/>
  <c r="Q11" i="1"/>
  <c r="T11" i="1" s="1"/>
  <c r="B4" i="1" s="1"/>
  <c r="N11" i="1"/>
  <c r="R11" i="1" s="1"/>
  <c r="U11" i="1" s="1"/>
  <c r="B11" i="1" s="1"/>
  <c r="J12" i="1"/>
  <c r="Q12" i="1" s="1"/>
  <c r="T12" i="1" s="1"/>
  <c r="B5" i="1" s="1"/>
  <c r="J14" i="1"/>
  <c r="Q14" i="1" s="1"/>
  <c r="T14" i="1" s="1"/>
  <c r="B7" i="1" s="1"/>
  <c r="J10" i="1"/>
  <c r="Q10" i="1" s="1"/>
  <c r="T10" i="1" s="1"/>
  <c r="B3" i="1" s="1"/>
  <c r="R10" i="1" l="1"/>
  <c r="U10" i="1" s="1"/>
  <c r="B10" i="1" s="1"/>
  <c r="R14" i="1"/>
  <c r="U14" i="1" s="1"/>
  <c r="B14" i="1" s="1"/>
  <c r="R12" i="1"/>
  <c r="U12" i="1" s="1"/>
  <c r="B12" i="1" s="1"/>
  <c r="R9" i="1"/>
  <c r="Q9" i="1"/>
  <c r="Q20" i="1" l="1"/>
  <c r="T9" i="1"/>
  <c r="B2" i="1" s="1"/>
  <c r="R20" i="1"/>
  <c r="U9" i="1"/>
  <c r="B9" i="1" s="1"/>
</calcChain>
</file>

<file path=xl/sharedStrings.xml><?xml version="1.0" encoding="utf-8"?>
<sst xmlns="http://schemas.openxmlformats.org/spreadsheetml/2006/main" count="68" uniqueCount="34">
  <si>
    <t>Flaming</t>
  </si>
  <si>
    <t>Smouldering</t>
  </si>
  <si>
    <t>CO2</t>
  </si>
  <si>
    <t>CH4</t>
  </si>
  <si>
    <t>CO</t>
  </si>
  <si>
    <t>BC</t>
  </si>
  <si>
    <t>NMOG</t>
  </si>
  <si>
    <t xml:space="preserve">Original CFFEPS </t>
  </si>
  <si>
    <t>Spp</t>
  </si>
  <si>
    <t>PM10</t>
  </si>
  <si>
    <t>PM2.5</t>
  </si>
  <si>
    <t>g/kg</t>
  </si>
  <si>
    <t>NMHC</t>
  </si>
  <si>
    <t>%C</t>
  </si>
  <si>
    <t>Residual</t>
  </si>
  <si>
    <t>Mean(Sm+Re)</t>
  </si>
  <si>
    <t>% of total carbon</t>
  </si>
  <si>
    <t>CO2 EF</t>
  </si>
  <si>
    <t>using 45.7% carbon content of fuels as per Permer, Liu, WE-CAN campaign</t>
  </si>
  <si>
    <t>g/kg of total carbon</t>
  </si>
  <si>
    <t>Carbon content of fuels</t>
  </si>
  <si>
    <t xml:space="preserve"> (molar masss as formaldehyde)</t>
  </si>
  <si>
    <t>Name</t>
  </si>
  <si>
    <t>PM25</t>
  </si>
  <si>
    <t>DC</t>
  </si>
  <si>
    <t>Frac Consunm</t>
  </si>
  <si>
    <t>a</t>
  </si>
  <si>
    <t>b</t>
  </si>
  <si>
    <t>c</t>
  </si>
  <si>
    <t>InvLogit(FracConsump)</t>
  </si>
  <si>
    <t>Duff Load (kg m2)</t>
  </si>
  <si>
    <t>PM2.5:CO</t>
  </si>
  <si>
    <t>PM10:CO</t>
  </si>
  <si>
    <t>NMOG:CO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</si>
</sst>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F93D-B5EB-44A4-8D79-99DFA59B7D70}">
  <dimension ref="A1:W29"/>
  <sheetViews>
    <sheetView tabSelected="1" topLeftCell="C1" workbookViewId="0">
      <selection activeCell="U22" sqref="U22"/>
    </sheetView>
  </sheetViews>
  <sheetFormatPr defaultRowHeight="15" x14ac:dyDescent="0.25"/>
  <cols>
    <col min="3" max="3" width="32" customWidth="1"/>
    <col min="4" max="4" width="16.85546875" customWidth="1"/>
    <col min="5" max="5" width="14.85546875" customWidth="1"/>
    <col min="6" max="6" width="21.7109375" bestFit="1" customWidth="1"/>
    <col min="11" max="11" width="9.5703125" bestFit="1" customWidth="1"/>
    <col min="14" max="14" width="10.140625" customWidth="1"/>
    <col min="19" max="19" width="9.5703125" bestFit="1" customWidth="1"/>
  </cols>
  <sheetData>
    <row r="1" spans="1:23" x14ac:dyDescent="0.25">
      <c r="A1" t="s">
        <v>8</v>
      </c>
      <c r="B1" t="s">
        <v>0</v>
      </c>
      <c r="C1" t="s">
        <v>1</v>
      </c>
      <c r="D1" t="s">
        <v>22</v>
      </c>
      <c r="I1" t="s">
        <v>20</v>
      </c>
      <c r="K1">
        <v>510</v>
      </c>
      <c r="L1" t="s">
        <v>11</v>
      </c>
      <c r="M1" t="s">
        <v>18</v>
      </c>
    </row>
    <row r="2" spans="1:23" x14ac:dyDescent="0.25">
      <c r="A2" t="s">
        <v>2</v>
      </c>
      <c r="B2" s="2">
        <f t="shared" ref="B2:B8" si="0">T9</f>
        <v>0.8677203921568627</v>
      </c>
      <c r="C2" t="s">
        <v>0</v>
      </c>
      <c r="D2" t="str">
        <f>_xlfn.CONCAT(C2,A2)</f>
        <v>FlamingCO2</v>
      </c>
    </row>
    <row r="3" spans="1:23" x14ac:dyDescent="0.25">
      <c r="A3" t="s">
        <v>4</v>
      </c>
      <c r="B3" s="2">
        <f t="shared" si="0"/>
        <v>7.0000000000000007E-2</v>
      </c>
      <c r="C3" t="s">
        <v>0</v>
      </c>
      <c r="D3" t="str">
        <f t="shared" ref="D3:D15" si="1">_xlfn.CONCAT(C3,A3)</f>
        <v>FlamingCO</v>
      </c>
    </row>
    <row r="4" spans="1:23" x14ac:dyDescent="0.25">
      <c r="A4" t="s">
        <v>9</v>
      </c>
      <c r="B4" s="2">
        <f t="shared" si="0"/>
        <v>2.1999999999999999E-2</v>
      </c>
      <c r="C4" t="s">
        <v>0</v>
      </c>
      <c r="D4" t="str">
        <f t="shared" si="1"/>
        <v>FlamingPM10</v>
      </c>
    </row>
    <row r="5" spans="1:23" x14ac:dyDescent="0.25">
      <c r="A5" t="s">
        <v>6</v>
      </c>
      <c r="B5" s="2">
        <f t="shared" si="0"/>
        <v>1.6E-2</v>
      </c>
      <c r="C5" t="s">
        <v>0</v>
      </c>
      <c r="D5" t="str">
        <f t="shared" si="1"/>
        <v>FlamingNMOG</v>
      </c>
      <c r="Q5" t="s">
        <v>19</v>
      </c>
      <c r="T5" t="s">
        <v>16</v>
      </c>
    </row>
    <row r="6" spans="1:23" x14ac:dyDescent="0.25">
      <c r="A6" t="s">
        <v>23</v>
      </c>
      <c r="B6" s="2">
        <f t="shared" si="0"/>
        <v>1.9E-2</v>
      </c>
      <c r="C6" t="s">
        <v>0</v>
      </c>
      <c r="D6" t="str">
        <f t="shared" si="1"/>
        <v>FlamingPM25</v>
      </c>
      <c r="I6" t="s">
        <v>11</v>
      </c>
      <c r="J6" t="s">
        <v>13</v>
      </c>
      <c r="K6" t="s">
        <v>0</v>
      </c>
      <c r="L6" t="s">
        <v>1</v>
      </c>
      <c r="M6" t="s">
        <v>14</v>
      </c>
      <c r="N6" t="s">
        <v>15</v>
      </c>
      <c r="Q6" t="s">
        <v>0</v>
      </c>
      <c r="R6" t="s">
        <v>1</v>
      </c>
      <c r="T6" t="s">
        <v>0</v>
      </c>
      <c r="U6" t="s">
        <v>1</v>
      </c>
    </row>
    <row r="7" spans="1:23" x14ac:dyDescent="0.25">
      <c r="A7" t="s">
        <v>3</v>
      </c>
      <c r="B7" s="2">
        <f t="shared" si="0"/>
        <v>5.0000000000000001E-3</v>
      </c>
      <c r="C7" t="s">
        <v>0</v>
      </c>
      <c r="D7" t="str">
        <f t="shared" si="1"/>
        <v>FlamingCH4</v>
      </c>
      <c r="I7" t="s">
        <v>7</v>
      </c>
    </row>
    <row r="8" spans="1:23" x14ac:dyDescent="0.25">
      <c r="A8" t="s">
        <v>5</v>
      </c>
      <c r="B8" s="2">
        <f t="shared" si="0"/>
        <v>1E-3</v>
      </c>
      <c r="C8" t="s">
        <v>0</v>
      </c>
      <c r="D8" t="str">
        <f t="shared" si="1"/>
        <v>FlamingBC</v>
      </c>
      <c r="I8" t="s">
        <v>8</v>
      </c>
    </row>
    <row r="9" spans="1:23" x14ac:dyDescent="0.25">
      <c r="A9" t="s">
        <v>2</v>
      </c>
      <c r="B9" s="2">
        <f t="shared" ref="B9:B15" si="2">U9</f>
        <v>0.70274327731092445</v>
      </c>
      <c r="C9" t="s">
        <v>1</v>
      </c>
      <c r="D9" t="str">
        <f t="shared" si="1"/>
        <v>SmoulderingCO2</v>
      </c>
      <c r="I9" t="s">
        <v>2</v>
      </c>
      <c r="Q9" s="3">
        <f>$K$1-SUM(Q10:Q18)</f>
        <v>442.53739999999999</v>
      </c>
      <c r="R9" s="3">
        <f>$K$1-SUM(R10:R18)</f>
        <v>358.39907142857146</v>
      </c>
      <c r="T9" s="2">
        <f>Q9/$K$1</f>
        <v>0.8677203921568627</v>
      </c>
      <c r="U9" s="2">
        <f>R9/$K$1</f>
        <v>0.70274327731092445</v>
      </c>
    </row>
    <row r="10" spans="1:23" x14ac:dyDescent="0.25">
      <c r="A10" t="s">
        <v>4</v>
      </c>
      <c r="B10" s="2">
        <f t="shared" si="2"/>
        <v>0.161</v>
      </c>
      <c r="C10" t="s">
        <v>1</v>
      </c>
      <c r="D10" t="str">
        <f t="shared" si="1"/>
        <v>SmoulderingCO</v>
      </c>
      <c r="I10" t="s">
        <v>4</v>
      </c>
      <c r="J10">
        <f>12/(12+16)</f>
        <v>0.42857142857142855</v>
      </c>
      <c r="K10">
        <v>83</v>
      </c>
      <c r="L10">
        <v>135</v>
      </c>
      <c r="M10">
        <v>248</v>
      </c>
      <c r="N10">
        <f>AVERAGE(L10,M10)</f>
        <v>191.5</v>
      </c>
      <c r="Q10" s="3">
        <f t="shared" ref="Q10:Q15" si="3">K10*J10</f>
        <v>35.571428571428569</v>
      </c>
      <c r="R10" s="3">
        <f t="shared" ref="R10:R15" si="4">N10*J10</f>
        <v>82.071428571428569</v>
      </c>
      <c r="T10" s="2">
        <f t="shared" ref="T10:U15" si="5">ROUND(Q10/$K$1,3)</f>
        <v>7.0000000000000007E-2</v>
      </c>
      <c r="U10" s="2">
        <f t="shared" si="5"/>
        <v>0.161</v>
      </c>
    </row>
    <row r="11" spans="1:23" x14ac:dyDescent="0.25">
      <c r="A11" t="s">
        <v>9</v>
      </c>
      <c r="B11" s="2">
        <f t="shared" si="2"/>
        <v>4.8000000000000001E-2</v>
      </c>
      <c r="C11" t="s">
        <v>1</v>
      </c>
      <c r="D11" t="str">
        <f t="shared" si="1"/>
        <v>SmoulderingPM10</v>
      </c>
      <c r="I11" t="s">
        <v>9</v>
      </c>
      <c r="J11" s="1">
        <f>1/1.4</f>
        <v>0.7142857142857143</v>
      </c>
      <c r="K11">
        <v>16.05</v>
      </c>
      <c r="L11">
        <v>27.38</v>
      </c>
      <c r="M11">
        <v>40.75</v>
      </c>
      <c r="N11">
        <f>AVERAGE(L11,M11)</f>
        <v>34.064999999999998</v>
      </c>
      <c r="Q11" s="3">
        <f>K11*J11</f>
        <v>11.464285714285715</v>
      </c>
      <c r="R11" s="3">
        <f>N11*J11</f>
        <v>24.332142857142856</v>
      </c>
      <c r="T11" s="2">
        <f t="shared" si="5"/>
        <v>2.1999999999999999E-2</v>
      </c>
      <c r="U11" s="2">
        <f t="shared" si="5"/>
        <v>4.8000000000000001E-2</v>
      </c>
    </row>
    <row r="12" spans="1:23" x14ac:dyDescent="0.25">
      <c r="A12" t="s">
        <v>6</v>
      </c>
      <c r="B12" s="2">
        <f t="shared" si="2"/>
        <v>3.5000000000000003E-2</v>
      </c>
      <c r="C12" t="s">
        <v>1</v>
      </c>
      <c r="D12" t="str">
        <f t="shared" si="1"/>
        <v>SmoulderingNMOG</v>
      </c>
      <c r="I12" t="s">
        <v>12</v>
      </c>
      <c r="J12">
        <f>12/(12+2+16)</f>
        <v>0.4</v>
      </c>
      <c r="K12">
        <v>19.850000000000001</v>
      </c>
      <c r="L12">
        <v>33.869999999999997</v>
      </c>
      <c r="M12">
        <v>56.08</v>
      </c>
      <c r="N12">
        <f>AVERAGE(L12,M12)</f>
        <v>44.974999999999994</v>
      </c>
      <c r="Q12" s="3">
        <f t="shared" si="3"/>
        <v>7.9400000000000013</v>
      </c>
      <c r="R12" s="3">
        <f t="shared" si="4"/>
        <v>17.989999999999998</v>
      </c>
      <c r="T12" s="2">
        <f t="shared" si="5"/>
        <v>1.6E-2</v>
      </c>
      <c r="U12" s="2">
        <f t="shared" si="5"/>
        <v>3.5000000000000003E-2</v>
      </c>
      <c r="W12" t="s">
        <v>21</v>
      </c>
    </row>
    <row r="13" spans="1:23" x14ac:dyDescent="0.25">
      <c r="A13" t="s">
        <v>23</v>
      </c>
      <c r="B13" s="2">
        <f t="shared" si="2"/>
        <v>0.04</v>
      </c>
      <c r="C13" t="s">
        <v>1</v>
      </c>
      <c r="D13" t="str">
        <f t="shared" si="1"/>
        <v>SmoulderingPM25</v>
      </c>
      <c r="I13" t="s">
        <v>10</v>
      </c>
      <c r="J13" s="1">
        <f>1/1.4</f>
        <v>0.7142857142857143</v>
      </c>
      <c r="K13">
        <v>13.6</v>
      </c>
      <c r="L13">
        <v>23.2</v>
      </c>
      <c r="M13">
        <v>34.53</v>
      </c>
      <c r="N13">
        <f>AVERAGE(L13,M13)</f>
        <v>28.865000000000002</v>
      </c>
      <c r="Q13" s="3">
        <f t="shared" si="3"/>
        <v>9.7142857142857135</v>
      </c>
      <c r="R13" s="3">
        <f t="shared" si="4"/>
        <v>20.617857142857144</v>
      </c>
      <c r="T13" s="2">
        <f t="shared" si="5"/>
        <v>1.9E-2</v>
      </c>
      <c r="U13" s="2">
        <f t="shared" si="5"/>
        <v>0.04</v>
      </c>
    </row>
    <row r="14" spans="1:23" x14ac:dyDescent="0.25">
      <c r="A14" t="s">
        <v>3</v>
      </c>
      <c r="B14" s="2">
        <f t="shared" si="2"/>
        <v>1.2999999999999999E-2</v>
      </c>
      <c r="C14" t="s">
        <v>1</v>
      </c>
      <c r="D14" t="str">
        <f t="shared" si="1"/>
        <v>SmoulderingCH4</v>
      </c>
      <c r="I14" t="s">
        <v>3</v>
      </c>
      <c r="J14">
        <f>12/(12+4)</f>
        <v>0.75</v>
      </c>
      <c r="K14">
        <v>3.23</v>
      </c>
      <c r="L14">
        <v>7.32</v>
      </c>
      <c r="M14">
        <v>9.94</v>
      </c>
      <c r="N14">
        <f>AVERAGE(L14,M14)</f>
        <v>8.629999999999999</v>
      </c>
      <c r="Q14" s="3">
        <f t="shared" si="3"/>
        <v>2.4224999999999999</v>
      </c>
      <c r="R14" s="3">
        <f t="shared" si="4"/>
        <v>6.4724999999999993</v>
      </c>
      <c r="T14" s="2">
        <f t="shared" si="5"/>
        <v>5.0000000000000001E-3</v>
      </c>
      <c r="U14" s="2">
        <f t="shared" si="5"/>
        <v>1.2999999999999999E-2</v>
      </c>
    </row>
    <row r="15" spans="1:23" x14ac:dyDescent="0.25">
      <c r="A15" t="s">
        <v>5</v>
      </c>
      <c r="B15" s="2">
        <f t="shared" si="2"/>
        <v>0</v>
      </c>
      <c r="C15" t="s">
        <v>1</v>
      </c>
      <c r="D15" t="str">
        <f t="shared" si="1"/>
        <v>SmoulderingBC</v>
      </c>
      <c r="I15" t="s">
        <v>5</v>
      </c>
      <c r="J15" s="1">
        <v>0.9</v>
      </c>
      <c r="K15">
        <v>0.38900000000000001</v>
      </c>
      <c r="N15">
        <v>0.13</v>
      </c>
      <c r="Q15" s="3">
        <f t="shared" si="3"/>
        <v>0.35010000000000002</v>
      </c>
      <c r="R15" s="3">
        <f t="shared" si="4"/>
        <v>0.11700000000000001</v>
      </c>
      <c r="T15" s="2">
        <f t="shared" si="5"/>
        <v>1E-3</v>
      </c>
      <c r="U15" s="2">
        <f t="shared" si="5"/>
        <v>0</v>
      </c>
    </row>
    <row r="16" spans="1:23" x14ac:dyDescent="0.25">
      <c r="Q16" s="3"/>
      <c r="R16" s="3"/>
      <c r="T16" s="2"/>
      <c r="U16" s="2"/>
    </row>
    <row r="17" spans="3:21" x14ac:dyDescent="0.25">
      <c r="Q17" s="3"/>
      <c r="R17" s="3"/>
      <c r="T17" s="2"/>
      <c r="U17" s="2"/>
    </row>
    <row r="18" spans="3:21" x14ac:dyDescent="0.25">
      <c r="Q18" s="3"/>
      <c r="R18" s="3"/>
      <c r="T18" s="2"/>
      <c r="U18" s="2"/>
    </row>
    <row r="20" spans="3:21" x14ac:dyDescent="0.25">
      <c r="P20" t="s">
        <v>17</v>
      </c>
      <c r="Q20">
        <f>Q9/(12/(12+16+16))</f>
        <v>1622.6371333333334</v>
      </c>
      <c r="R20">
        <f>R9/(12/(12+16+16))</f>
        <v>1314.1299285714288</v>
      </c>
      <c r="S20" t="s">
        <v>31</v>
      </c>
      <c r="T20">
        <f>T13/T$10</f>
        <v>0.27142857142857141</v>
      </c>
      <c r="U20">
        <f>U13/U$10</f>
        <v>0.2484472049689441</v>
      </c>
    </row>
    <row r="21" spans="3:21" x14ac:dyDescent="0.25">
      <c r="S21" t="s">
        <v>32</v>
      </c>
      <c r="T21">
        <f>T11/T$10</f>
        <v>0.31428571428571422</v>
      </c>
      <c r="U21">
        <f>U11/U$10</f>
        <v>0.29813664596273293</v>
      </c>
    </row>
    <row r="22" spans="3:21" x14ac:dyDescent="0.25">
      <c r="S22" t="s">
        <v>33</v>
      </c>
      <c r="T22">
        <f>T12/T$10</f>
        <v>0.22857142857142856</v>
      </c>
      <c r="U22">
        <f>U12/U$10</f>
        <v>0.21739130434782611</v>
      </c>
    </row>
    <row r="23" spans="3:21" x14ac:dyDescent="0.25">
      <c r="C23" t="s">
        <v>26</v>
      </c>
      <c r="D23" t="s">
        <v>27</v>
      </c>
      <c r="E23" t="s">
        <v>28</v>
      </c>
    </row>
    <row r="24" spans="3:21" x14ac:dyDescent="0.25">
      <c r="C24">
        <v>0.33</v>
      </c>
      <c r="D24">
        <v>-0.17</v>
      </c>
      <c r="E24">
        <v>-4.8</v>
      </c>
    </row>
    <row r="25" spans="3:21" x14ac:dyDescent="0.25">
      <c r="C25" t="s">
        <v>24</v>
      </c>
      <c r="D25" t="s">
        <v>30</v>
      </c>
      <c r="E25" t="s">
        <v>25</v>
      </c>
      <c r="F25" t="s">
        <v>29</v>
      </c>
    </row>
    <row r="26" spans="3:21" x14ac:dyDescent="0.25">
      <c r="C26">
        <v>200</v>
      </c>
      <c r="D26">
        <v>1</v>
      </c>
      <c r="E26">
        <f t="shared" ref="E26:E28" si="6">(C26^$C$24)*(D26^$D$24)+$E$24</f>
        <v>0.94565967681867313</v>
      </c>
      <c r="F26">
        <f>EXP(E26)/(1+EXP(E26))</f>
        <v>0.72024146683083701</v>
      </c>
    </row>
    <row r="27" spans="3:21" x14ac:dyDescent="0.25">
      <c r="C27">
        <v>200</v>
      </c>
      <c r="D27">
        <v>3</v>
      </c>
      <c r="E27">
        <f t="shared" si="6"/>
        <v>-3.3174155995569166E-2</v>
      </c>
      <c r="F27">
        <f t="shared" ref="F27:F28" si="7">EXP(E27)/(1+EXP(E27))</f>
        <v>0.49170722152106949</v>
      </c>
    </row>
    <row r="28" spans="3:21" x14ac:dyDescent="0.25">
      <c r="C28">
        <v>200</v>
      </c>
      <c r="D28">
        <v>5</v>
      </c>
      <c r="E28">
        <f t="shared" si="6"/>
        <v>-0.42966228759965119</v>
      </c>
      <c r="F28">
        <f t="shared" si="7"/>
        <v>0.39420697705381963</v>
      </c>
    </row>
    <row r="29" spans="3:21" x14ac:dyDescent="0.25">
      <c r="D29">
        <v>7</v>
      </c>
    </row>
  </sheetData>
  <sortState xmlns:xlrd2="http://schemas.microsoft.com/office/spreadsheetml/2017/richdata2" ref="I10:U18">
    <sortCondition descending="1" ref="T10:T18"/>
  </sortState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Daniel</dc:creator>
  <cp:lastModifiedBy>Thompson, Daniel</cp:lastModifiedBy>
  <dcterms:created xsi:type="dcterms:W3CDTF">2023-07-10T12:49:00Z</dcterms:created>
  <dcterms:modified xsi:type="dcterms:W3CDTF">2023-07-19T14:00:53Z</dcterms:modified>
</cp:coreProperties>
</file>