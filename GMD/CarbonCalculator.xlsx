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thomp\Documents\nrcan-cfs-fire\FireDMs\GMD\"/>
    </mc:Choice>
  </mc:AlternateContent>
  <xr:revisionPtr revIDLastSave="0" documentId="8_{E0E233A4-6C4C-4803-8AE7-08AFCF9DD249}" xr6:coauthVersionLast="47" xr6:coauthVersionMax="47" xr10:uidLastSave="{00000000-0000-0000-0000-000000000000}"/>
  <bookViews>
    <workbookView xWindow="30612" yWindow="48" windowWidth="30936" windowHeight="17040" xr2:uid="{16CE1E83-2308-4ECC-BD41-9B5C697359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U15" i="1"/>
  <c r="B15" i="1" s="1"/>
  <c r="T13" i="1"/>
  <c r="B6" i="1" s="1"/>
  <c r="R15" i="1"/>
  <c r="Q15" i="1"/>
  <c r="T15" i="1" s="1"/>
  <c r="B8" i="1" s="1"/>
  <c r="N12" i="1"/>
  <c r="N14" i="1"/>
  <c r="N10" i="1"/>
  <c r="N13" i="1"/>
  <c r="R13" i="1" s="1"/>
  <c r="U13" i="1" s="1"/>
  <c r="B13" i="1" s="1"/>
  <c r="Q13" i="1"/>
  <c r="Q11" i="1"/>
  <c r="T11" i="1" s="1"/>
  <c r="B4" i="1" s="1"/>
  <c r="N11" i="1"/>
  <c r="R11" i="1" s="1"/>
  <c r="U11" i="1" s="1"/>
  <c r="B11" i="1" s="1"/>
  <c r="J12" i="1"/>
  <c r="Q12" i="1" s="1"/>
  <c r="T12" i="1" s="1"/>
  <c r="B5" i="1" s="1"/>
  <c r="J14" i="1"/>
  <c r="Q14" i="1" s="1"/>
  <c r="T14" i="1" s="1"/>
  <c r="B7" i="1" s="1"/>
  <c r="J10" i="1"/>
  <c r="Q10" i="1" s="1"/>
  <c r="T10" i="1" s="1"/>
  <c r="B3" i="1" s="1"/>
  <c r="R10" i="1" l="1"/>
  <c r="U10" i="1" s="1"/>
  <c r="B10" i="1" s="1"/>
  <c r="R14" i="1"/>
  <c r="U14" i="1" s="1"/>
  <c r="B14" i="1" s="1"/>
  <c r="R12" i="1"/>
  <c r="U12" i="1" s="1"/>
  <c r="B12" i="1" s="1"/>
  <c r="R9" i="1"/>
  <c r="Q9" i="1"/>
  <c r="Q20" i="1" l="1"/>
  <c r="T9" i="1"/>
  <c r="B2" i="1" s="1"/>
  <c r="R20" i="1"/>
  <c r="U9" i="1"/>
  <c r="B9" i="1" s="1"/>
</calcChain>
</file>

<file path=xl/sharedStrings.xml><?xml version="1.0" encoding="utf-8"?>
<sst xmlns="http://schemas.openxmlformats.org/spreadsheetml/2006/main" count="56" uniqueCount="24">
  <si>
    <t>Flaming</t>
  </si>
  <si>
    <t>Smouldering</t>
  </si>
  <si>
    <t>CO2</t>
  </si>
  <si>
    <t>CH4</t>
  </si>
  <si>
    <t>CO</t>
  </si>
  <si>
    <t>BC</t>
  </si>
  <si>
    <t>NMOG</t>
  </si>
  <si>
    <t xml:space="preserve">Original CFFEPS </t>
  </si>
  <si>
    <t>Spp</t>
  </si>
  <si>
    <t>PM10</t>
  </si>
  <si>
    <t>PM2.5</t>
  </si>
  <si>
    <t>g/kg</t>
  </si>
  <si>
    <t>NMHC</t>
  </si>
  <si>
    <t>%C</t>
  </si>
  <si>
    <t>Residual</t>
  </si>
  <si>
    <t>Mean(Sm+Re)</t>
  </si>
  <si>
    <t>% of total carbon</t>
  </si>
  <si>
    <t>CO2 EF</t>
  </si>
  <si>
    <t>using 45.7% carbon content of fuels as per Permer, Liu, WE-CAN campaign</t>
  </si>
  <si>
    <t>g/kg of total carbon</t>
  </si>
  <si>
    <t>Carbon content of fuels</t>
  </si>
  <si>
    <t xml:space="preserve"> (molar masss as formaldehyde)</t>
  </si>
  <si>
    <t>Name</t>
  </si>
  <si>
    <t>PM25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</si>
</sst>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7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64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BF93D-B5EB-44A4-8D79-99DFA59B7D70}">
  <dimension ref="A1:W20"/>
  <sheetViews>
    <sheetView tabSelected="1" workbookViewId="0">
      <selection activeCell="Z5" sqref="I3:Z5"/>
    </sheetView>
  </sheetViews>
  <sheetFormatPr defaultRowHeight="14.4" x14ac:dyDescent="0.3"/>
  <cols>
    <col min="3" max="3" width="32" customWidth="1"/>
    <col min="4" max="4" width="16.88671875" customWidth="1"/>
    <col min="5" max="6" width="11.33203125" customWidth="1"/>
    <col min="11" max="11" width="9.5546875" bestFit="1" customWidth="1"/>
    <col min="14" max="14" width="10.109375" customWidth="1"/>
  </cols>
  <sheetData>
    <row r="1" spans="1:23" x14ac:dyDescent="0.3">
      <c r="A1" t="s">
        <v>8</v>
      </c>
      <c r="B1" t="s">
        <v>0</v>
      </c>
      <c r="C1" t="s">
        <v>1</v>
      </c>
      <c r="D1" t="s">
        <v>22</v>
      </c>
      <c r="I1" t="s">
        <v>20</v>
      </c>
      <c r="K1">
        <v>510</v>
      </c>
      <c r="L1" t="s">
        <v>11</v>
      </c>
      <c r="M1" t="s">
        <v>18</v>
      </c>
    </row>
    <row r="2" spans="1:23" x14ac:dyDescent="0.3">
      <c r="A2" t="s">
        <v>2</v>
      </c>
      <c r="B2" s="2">
        <f>T9</f>
        <v>0.8801783753501401</v>
      </c>
      <c r="C2" t="s">
        <v>0</v>
      </c>
      <c r="D2" t="str">
        <f>_xlfn.CONCAT(C2,A2)</f>
        <v>FlamingCO2</v>
      </c>
    </row>
    <row r="3" spans="1:23" x14ac:dyDescent="0.3">
      <c r="A3" t="s">
        <v>4</v>
      </c>
      <c r="B3" s="2">
        <f>T10</f>
        <v>7.0000000000000007E-2</v>
      </c>
      <c r="C3" t="s">
        <v>0</v>
      </c>
      <c r="D3" t="str">
        <f t="shared" ref="D3:D15" si="0">_xlfn.CONCAT(C3,A3)</f>
        <v>FlamingCO</v>
      </c>
    </row>
    <row r="4" spans="1:23" x14ac:dyDescent="0.3">
      <c r="A4" t="s">
        <v>9</v>
      </c>
      <c r="B4" s="2">
        <f>T11</f>
        <v>1.6E-2</v>
      </c>
      <c r="C4" t="s">
        <v>0</v>
      </c>
      <c r="D4" t="str">
        <f t="shared" si="0"/>
        <v>FlamingPM10</v>
      </c>
    </row>
    <row r="5" spans="1:23" x14ac:dyDescent="0.3">
      <c r="A5" t="s">
        <v>6</v>
      </c>
      <c r="B5" s="2">
        <f>T12</f>
        <v>1.6E-2</v>
      </c>
      <c r="C5" t="s">
        <v>0</v>
      </c>
      <c r="D5" t="str">
        <f t="shared" si="0"/>
        <v>FlamingNMOG</v>
      </c>
      <c r="Q5" t="s">
        <v>19</v>
      </c>
      <c r="T5" t="s">
        <v>16</v>
      </c>
    </row>
    <row r="6" spans="1:23" x14ac:dyDescent="0.3">
      <c r="A6" t="s">
        <v>23</v>
      </c>
      <c r="B6" s="2">
        <f>T13</f>
        <v>1.2999999999999999E-2</v>
      </c>
      <c r="C6" t="s">
        <v>0</v>
      </c>
      <c r="D6" t="str">
        <f t="shared" si="0"/>
        <v>FlamingPM25</v>
      </c>
      <c r="I6" t="s">
        <v>11</v>
      </c>
      <c r="J6" t="s">
        <v>13</v>
      </c>
      <c r="K6" t="s">
        <v>0</v>
      </c>
      <c r="L6" t="s">
        <v>1</v>
      </c>
      <c r="M6" t="s">
        <v>14</v>
      </c>
      <c r="N6" t="s">
        <v>15</v>
      </c>
      <c r="Q6" t="s">
        <v>0</v>
      </c>
      <c r="R6" t="s">
        <v>1</v>
      </c>
    </row>
    <row r="7" spans="1:23" x14ac:dyDescent="0.3">
      <c r="A7" t="s">
        <v>3</v>
      </c>
      <c r="B7" s="2">
        <f>T14</f>
        <v>5.0000000000000001E-3</v>
      </c>
      <c r="C7" t="s">
        <v>0</v>
      </c>
      <c r="D7" t="str">
        <f t="shared" si="0"/>
        <v>FlamingCH4</v>
      </c>
      <c r="I7" t="s">
        <v>7</v>
      </c>
    </row>
    <row r="8" spans="1:23" x14ac:dyDescent="0.3">
      <c r="A8" t="s">
        <v>5</v>
      </c>
      <c r="B8" s="2">
        <f>T15</f>
        <v>1E-3</v>
      </c>
      <c r="C8" t="s">
        <v>0</v>
      </c>
      <c r="D8" t="str">
        <f t="shared" si="0"/>
        <v>FlamingBC</v>
      </c>
      <c r="I8" t="s">
        <v>8</v>
      </c>
    </row>
    <row r="9" spans="1:23" x14ac:dyDescent="0.3">
      <c r="A9" t="s">
        <v>2</v>
      </c>
      <c r="B9" s="2">
        <f>U9</f>
        <v>0.72918445378151264</v>
      </c>
      <c r="C9" t="s">
        <v>1</v>
      </c>
      <c r="D9" t="str">
        <f t="shared" si="0"/>
        <v>SmoulderingCO2</v>
      </c>
      <c r="I9" t="s">
        <v>2</v>
      </c>
      <c r="Q9" s="3">
        <f>$K$1-SUM(Q10:Q18)</f>
        <v>448.89097142857145</v>
      </c>
      <c r="R9" s="3">
        <f>$K$1-SUM(R10:R18)</f>
        <v>371.88407142857147</v>
      </c>
      <c r="T9" s="2">
        <f>Q9/$K$1</f>
        <v>0.8801783753501401</v>
      </c>
      <c r="U9" s="2">
        <f>R9/$K$1</f>
        <v>0.72918445378151264</v>
      </c>
    </row>
    <row r="10" spans="1:23" x14ac:dyDescent="0.3">
      <c r="A10" t="s">
        <v>4</v>
      </c>
      <c r="B10" s="2">
        <f>U10</f>
        <v>0.161</v>
      </c>
      <c r="C10" t="s">
        <v>1</v>
      </c>
      <c r="D10" t="str">
        <f t="shared" si="0"/>
        <v>SmoulderingCO</v>
      </c>
      <c r="I10" t="s">
        <v>4</v>
      </c>
      <c r="J10">
        <f>12/(12+16)</f>
        <v>0.42857142857142855</v>
      </c>
      <c r="K10">
        <v>83</v>
      </c>
      <c r="L10">
        <v>135</v>
      </c>
      <c r="M10">
        <v>248</v>
      </c>
      <c r="N10">
        <f>AVERAGE(L10,M10)</f>
        <v>191.5</v>
      </c>
      <c r="Q10" s="3">
        <f>K10*J10</f>
        <v>35.571428571428569</v>
      </c>
      <c r="R10" s="3">
        <f>N10*J10</f>
        <v>82.071428571428569</v>
      </c>
      <c r="T10" s="2">
        <f>ROUND(Q10/$K$1,3)</f>
        <v>7.0000000000000007E-2</v>
      </c>
      <c r="U10" s="2">
        <f>ROUND(R10/$K$1,3)</f>
        <v>0.161</v>
      </c>
    </row>
    <row r="11" spans="1:23" x14ac:dyDescent="0.3">
      <c r="A11" t="s">
        <v>9</v>
      </c>
      <c r="B11" s="2">
        <f>U11</f>
        <v>3.3000000000000002E-2</v>
      </c>
      <c r="C11" t="s">
        <v>1</v>
      </c>
      <c r="D11" t="str">
        <f t="shared" si="0"/>
        <v>SmoulderingPM10</v>
      </c>
      <c r="I11" t="s">
        <v>9</v>
      </c>
      <c r="J11" s="1">
        <v>0.5</v>
      </c>
      <c r="K11">
        <v>16.05</v>
      </c>
      <c r="L11">
        <v>27.38</v>
      </c>
      <c r="M11">
        <v>40.75</v>
      </c>
      <c r="N11">
        <f>AVERAGE(L11,M11)</f>
        <v>34.064999999999998</v>
      </c>
      <c r="Q11" s="3">
        <f>K11*J11</f>
        <v>8.0250000000000004</v>
      </c>
      <c r="R11" s="3">
        <f>N11*J11</f>
        <v>17.032499999999999</v>
      </c>
      <c r="T11" s="2">
        <f>ROUND(Q11/$K$1,3)</f>
        <v>1.6E-2</v>
      </c>
      <c r="U11" s="2">
        <f>ROUND(R11/$K$1,3)</f>
        <v>3.3000000000000002E-2</v>
      </c>
    </row>
    <row r="12" spans="1:23" x14ac:dyDescent="0.3">
      <c r="A12" t="s">
        <v>6</v>
      </c>
      <c r="B12" s="2">
        <f>U12</f>
        <v>3.5000000000000003E-2</v>
      </c>
      <c r="C12" t="s">
        <v>1</v>
      </c>
      <c r="D12" t="str">
        <f t="shared" si="0"/>
        <v>SmoulderingNMOG</v>
      </c>
      <c r="I12" t="s">
        <v>12</v>
      </c>
      <c r="J12">
        <f>12/(12+2+16)</f>
        <v>0.4</v>
      </c>
      <c r="K12">
        <v>19.850000000000001</v>
      </c>
      <c r="L12">
        <v>33.869999999999997</v>
      </c>
      <c r="M12">
        <v>56.08</v>
      </c>
      <c r="N12">
        <f>AVERAGE(L12,M12)</f>
        <v>44.974999999999994</v>
      </c>
      <c r="Q12" s="3">
        <f>K12*J12</f>
        <v>7.9400000000000013</v>
      </c>
      <c r="R12" s="3">
        <f>N12*J12</f>
        <v>17.989999999999998</v>
      </c>
      <c r="T12" s="2">
        <f>ROUND(Q12/$K$1,3)</f>
        <v>1.6E-2</v>
      </c>
      <c r="U12" s="2">
        <f>ROUND(R12/$K$1,3)</f>
        <v>3.5000000000000003E-2</v>
      </c>
      <c r="W12" t="s">
        <v>21</v>
      </c>
    </row>
    <row r="13" spans="1:23" x14ac:dyDescent="0.3">
      <c r="A13" t="s">
        <v>23</v>
      </c>
      <c r="B13" s="2">
        <f>U13</f>
        <v>2.8000000000000001E-2</v>
      </c>
      <c r="C13" t="s">
        <v>1</v>
      </c>
      <c r="D13" t="str">
        <f t="shared" si="0"/>
        <v>SmoulderingPM25</v>
      </c>
      <c r="I13" t="s">
        <v>10</v>
      </c>
      <c r="J13" s="1">
        <v>0.5</v>
      </c>
      <c r="K13">
        <v>13.6</v>
      </c>
      <c r="L13">
        <v>23.2</v>
      </c>
      <c r="M13">
        <v>34.53</v>
      </c>
      <c r="N13">
        <f>AVERAGE(L13,M13)</f>
        <v>28.865000000000002</v>
      </c>
      <c r="Q13" s="3">
        <f>K13*J13</f>
        <v>6.8</v>
      </c>
      <c r="R13" s="3">
        <f>N13*J13</f>
        <v>14.432500000000001</v>
      </c>
      <c r="T13" s="2">
        <f>ROUND(Q13/$K$1,3)</f>
        <v>1.2999999999999999E-2</v>
      </c>
      <c r="U13" s="2">
        <f>ROUND(R13/$K$1,3)</f>
        <v>2.8000000000000001E-2</v>
      </c>
    </row>
    <row r="14" spans="1:23" x14ac:dyDescent="0.3">
      <c r="A14" t="s">
        <v>3</v>
      </c>
      <c r="B14" s="2">
        <f>U14</f>
        <v>1.2999999999999999E-2</v>
      </c>
      <c r="C14" t="s">
        <v>1</v>
      </c>
      <c r="D14" t="str">
        <f t="shared" si="0"/>
        <v>SmoulderingCH4</v>
      </c>
      <c r="I14" t="s">
        <v>3</v>
      </c>
      <c r="J14">
        <f>12/(12+4)</f>
        <v>0.75</v>
      </c>
      <c r="K14">
        <v>3.23</v>
      </c>
      <c r="L14">
        <v>7.32</v>
      </c>
      <c r="M14">
        <v>9.94</v>
      </c>
      <c r="N14">
        <f>AVERAGE(L14,M14)</f>
        <v>8.629999999999999</v>
      </c>
      <c r="Q14" s="3">
        <f>K14*J14</f>
        <v>2.4224999999999999</v>
      </c>
      <c r="R14" s="3">
        <f>N14*J14</f>
        <v>6.4724999999999993</v>
      </c>
      <c r="T14" s="2">
        <f>ROUND(Q14/$K$1,3)</f>
        <v>5.0000000000000001E-3</v>
      </c>
      <c r="U14" s="2">
        <f>ROUND(R14/$K$1,3)</f>
        <v>1.2999999999999999E-2</v>
      </c>
    </row>
    <row r="15" spans="1:23" x14ac:dyDescent="0.3">
      <c r="A15" t="s">
        <v>5</v>
      </c>
      <c r="B15" s="2">
        <f>U15</f>
        <v>0</v>
      </c>
      <c r="C15" t="s">
        <v>1</v>
      </c>
      <c r="D15" t="str">
        <f t="shared" si="0"/>
        <v>SmoulderingBC</v>
      </c>
      <c r="I15" t="s">
        <v>5</v>
      </c>
      <c r="J15" s="1">
        <v>0.9</v>
      </c>
      <c r="K15">
        <v>0.38900000000000001</v>
      </c>
      <c r="N15">
        <v>0.13</v>
      </c>
      <c r="Q15" s="3">
        <f>K15*J15</f>
        <v>0.35010000000000002</v>
      </c>
      <c r="R15" s="3">
        <f>N15*J15</f>
        <v>0.11700000000000001</v>
      </c>
      <c r="T15" s="2">
        <f>ROUND(Q15/$K$1,3)</f>
        <v>1E-3</v>
      </c>
      <c r="U15" s="2">
        <f>ROUND(R15/$K$1,3)</f>
        <v>0</v>
      </c>
    </row>
    <row r="16" spans="1:23" x14ac:dyDescent="0.3">
      <c r="Q16" s="3"/>
      <c r="R16" s="3"/>
      <c r="T16" s="2"/>
      <c r="U16" s="2"/>
    </row>
    <row r="17" spans="16:21" x14ac:dyDescent="0.3">
      <c r="Q17" s="3"/>
      <c r="R17" s="3"/>
      <c r="T17" s="2"/>
      <c r="U17" s="2"/>
    </row>
    <row r="18" spans="16:21" x14ac:dyDescent="0.3">
      <c r="Q18" s="3"/>
      <c r="R18" s="3"/>
      <c r="T18" s="2"/>
      <c r="U18" s="2"/>
    </row>
    <row r="20" spans="16:21" x14ac:dyDescent="0.3">
      <c r="P20" t="s">
        <v>17</v>
      </c>
      <c r="Q20">
        <f>Q9/(12/(12+16+16))</f>
        <v>1645.9335619047622</v>
      </c>
      <c r="R20">
        <f>R9/(12/(12+16+16))</f>
        <v>1363.5749285714289</v>
      </c>
    </row>
  </sheetData>
  <sortState xmlns:xlrd2="http://schemas.microsoft.com/office/spreadsheetml/2017/richdata2" ref="I10:U18">
    <sortCondition descending="1" ref="T10:T18"/>
  </sortState>
  <pageMargins left="0.7" right="0.7" top="0.75" bottom="0.75" header="0.3" footer="0.3"/>
  <headerFooter>
    <oddHeader>&amp;R&amp;"Calibri"&amp;12&amp;K000000 UNCLASSIFIED - NON CLASSIFIÉ&amp;1#_x000D_</oddHeader>
  </headerFooter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NRCan - RNCan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Thompson, Daniel</dc:creator>
  <cp:lastModifiedBy>Thompson, Daniel</cp:lastModifiedBy>
  <dcterms:created xsi:type="dcterms:W3CDTF">2023-07-10T12:49:00Z</dcterms:created>
  <dcterms:modified xsi:type="dcterms:W3CDTF">2023-07-10T14:11:46Z</dcterms:modified>
</cp:coreProperties>
</file>